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erver\redirectedfolders$\AnthonyH\Documents\Personal\D\Anthony\Airtasker\David M\"/>
    </mc:Choice>
  </mc:AlternateContent>
  <xr:revisionPtr revIDLastSave="0" documentId="8_{BAF08172-4E26-4507-9902-8C1A25009E92}" xr6:coauthVersionLast="36" xr6:coauthVersionMax="36" xr10:uidLastSave="{00000000-0000-0000-0000-000000000000}"/>
  <bookViews>
    <workbookView xWindow="0" yWindow="0" windowWidth="28800" windowHeight="11025" xr2:uid="{0345C0A0-F7AD-464B-A588-253ECECD77C5}"/>
  </bookViews>
  <sheets>
    <sheet name="Timesheet" sheetId="1" r:id="rId1"/>
    <sheet name="Database" sheetId="3" r:id="rId2"/>
  </sheets>
  <definedNames>
    <definedName name="Date">Timesheet!$C$3</definedName>
    <definedName name="Status">Timesheet!$F$3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" l="1"/>
  <c r="C6" i="1" s="1"/>
  <c r="C7" i="1" s="1"/>
  <c r="B7" i="1" s="1"/>
  <c r="B6" i="1" l="1"/>
  <c r="G7" i="1"/>
  <c r="G8" i="1"/>
  <c r="G9" i="1"/>
  <c r="G10" i="1"/>
  <c r="G11" i="1"/>
  <c r="G12" i="1"/>
  <c r="G6" i="1"/>
  <c r="G13" i="1" l="1"/>
  <c r="G15" i="1" s="1"/>
  <c r="C8" i="1"/>
  <c r="B8" i="1" s="1"/>
  <c r="C9" i="1" l="1"/>
  <c r="B9" i="1" s="1"/>
  <c r="C10" i="1" l="1"/>
  <c r="B10" i="1" s="1"/>
  <c r="C11" i="1" l="1"/>
  <c r="B11" i="1" s="1"/>
  <c r="C12" i="1" l="1"/>
  <c r="B12" i="1" s="1"/>
</calcChain>
</file>

<file path=xl/sharedStrings.xml><?xml version="1.0" encoding="utf-8"?>
<sst xmlns="http://schemas.openxmlformats.org/spreadsheetml/2006/main" count="19" uniqueCount="17">
  <si>
    <t>Date</t>
  </si>
  <si>
    <t>starting time</t>
  </si>
  <si>
    <t>finishing time</t>
  </si>
  <si>
    <t>worked hours</t>
  </si>
  <si>
    <t>Hourly rate</t>
  </si>
  <si>
    <t>Total pay</t>
  </si>
  <si>
    <t>First Name</t>
  </si>
  <si>
    <t>Last Name</t>
  </si>
  <si>
    <t>Phone</t>
  </si>
  <si>
    <t>Email</t>
  </si>
  <si>
    <t>Start</t>
  </si>
  <si>
    <t>Break</t>
  </si>
  <si>
    <t>Total</t>
  </si>
  <si>
    <t>Finish</t>
  </si>
  <si>
    <t>break (min)</t>
  </si>
  <si>
    <t>Status</t>
  </si>
  <si>
    <t>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</si>
</sst>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-F400]h:mm:ss\ AM/PM"/>
    <numFmt numFmtId="165" formatCode="h:mm:ss;@"/>
    <numFmt numFmtId="166" formatCode="[$-F400]h:mm\ AM/PM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/>
    <xf numFmtId="0" fontId="2" fillId="3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14" fontId="2" fillId="0" borderId="1" xfId="0" applyNumberFormat="1" applyFont="1" applyBorder="1" applyAlignment="1">
      <alignment horizontal="left" vertical="center" indent="1"/>
    </xf>
    <xf numFmtId="164" fontId="2" fillId="2" borderId="1" xfId="0" applyNumberFormat="1" applyFont="1" applyFill="1" applyBorder="1" applyAlignment="1">
      <alignment horizontal="left" vertical="center" indent="1"/>
    </xf>
    <xf numFmtId="165" fontId="2" fillId="0" borderId="1" xfId="0" applyNumberFormat="1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2" fontId="2" fillId="0" borderId="1" xfId="0" applyNumberFormat="1" applyFont="1" applyBorder="1" applyAlignment="1">
      <alignment horizontal="left" vertical="center" indent="1"/>
    </xf>
    <xf numFmtId="44" fontId="2" fillId="2" borderId="1" xfId="1" applyFont="1" applyFill="1" applyBorder="1" applyAlignment="1">
      <alignment horizontal="left" vertical="center" indent="1"/>
    </xf>
    <xf numFmtId="44" fontId="3" fillId="0" borderId="1" xfId="0" applyNumberFormat="1" applyFont="1" applyBorder="1" applyAlignment="1">
      <alignment horizontal="left" vertical="center" indent="1"/>
    </xf>
    <xf numFmtId="166" fontId="2" fillId="2" borderId="1" xfId="0" applyNumberFormat="1" applyFont="1" applyFill="1" applyBorder="1" applyAlignment="1">
      <alignment horizontal="left" vertical="center" indent="1"/>
    </xf>
    <xf numFmtId="0" fontId="2" fillId="2" borderId="1" xfId="0" applyNumberFormat="1" applyFont="1" applyFill="1" applyBorder="1" applyAlignment="1">
      <alignment horizontal="left" vertical="center" indent="1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4" fontId="2" fillId="0" borderId="3" xfId="0" applyNumberFormat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85725</xdr:rowOff>
        </xdr:from>
        <xdr:to>
          <xdr:col>8</xdr:col>
          <xdr:colOff>552450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E3D8-CF13-40DA-801B-4956F9FD705E}">
  <sheetPr codeName="Sheet1">
    <pageSetUpPr fitToPage="1"/>
  </sheetPr>
  <dimension ref="B1:G16"/>
  <sheetViews>
    <sheetView tabSelected="1" workbookViewId="0">
      <selection activeCell="C3" sqref="C3:D3"/>
    </sheetView>
  </sheetViews>
  <sheetFormatPr defaultRowHeight="13.5" x14ac:dyDescent="0.25"/>
  <cols>
    <col min="1" max="1" width="9.140625" style="2"/>
    <col min="2" max="7" width="15.7109375" style="2" customWidth="1"/>
    <col min="8" max="16384" width="9.140625" style="2"/>
  </cols>
  <sheetData>
    <row r="1" spans="2:7" ht="20.25" customHeight="1" x14ac:dyDescent="0.25">
      <c r="B1" s="1" t="s">
        <v>6</v>
      </c>
      <c r="C1" s="15"/>
      <c r="D1" s="15"/>
      <c r="E1" s="1" t="s">
        <v>8</v>
      </c>
      <c r="F1" s="15"/>
      <c r="G1" s="15"/>
    </row>
    <row r="2" spans="2:7" ht="20.25" customHeight="1" x14ac:dyDescent="0.25">
      <c r="B2" s="1" t="s">
        <v>7</v>
      </c>
      <c r="C2" s="16"/>
      <c r="D2" s="16"/>
      <c r="E2" s="1" t="s">
        <v>9</v>
      </c>
      <c r="F2" s="16"/>
      <c r="G2" s="16"/>
    </row>
    <row r="3" spans="2:7" ht="20.25" customHeight="1" x14ac:dyDescent="0.25">
      <c r="B3" s="1" t="s">
        <v>0</v>
      </c>
      <c r="C3" s="17">
        <f ca="1">TODAY()</f>
        <v>43517</v>
      </c>
      <c r="D3" s="17"/>
      <c r="E3" s="1" t="s">
        <v>15</v>
      </c>
      <c r="F3" s="16" t="s">
        <v>16</v>
      </c>
      <c r="G3" s="16"/>
    </row>
    <row r="4" spans="2:7" ht="14.25" thickBot="1" x14ac:dyDescent="0.3"/>
    <row r="5" spans="2:7" s="4" customFormat="1" ht="18" customHeight="1" thickTop="1" thickBot="1" x14ac:dyDescent="0.3">
      <c r="B5" s="3"/>
      <c r="C5" s="3" t="s">
        <v>0</v>
      </c>
      <c r="D5" s="3" t="s">
        <v>1</v>
      </c>
      <c r="E5" s="3" t="s">
        <v>14</v>
      </c>
      <c r="F5" s="3" t="s">
        <v>2</v>
      </c>
      <c r="G5" s="3" t="s">
        <v>3</v>
      </c>
    </row>
    <row r="6" spans="2:7" s="4" customFormat="1" ht="18" customHeight="1" thickTop="1" thickBot="1" x14ac:dyDescent="0.3">
      <c r="B6" s="3" t="str">
        <f ca="1">TEXT(C6,"dddd")</f>
        <v>Monday</v>
      </c>
      <c r="C6" s="5">
        <f ca="1">C3-MOD(C3,7)+2</f>
        <v>43514</v>
      </c>
      <c r="D6" s="12"/>
      <c r="E6" s="13"/>
      <c r="F6" s="6"/>
      <c r="G6" s="7">
        <f>MAX(0,F6-D6-(E6/60/24))</f>
        <v>0</v>
      </c>
    </row>
    <row r="7" spans="2:7" s="4" customFormat="1" ht="18" customHeight="1" thickTop="1" thickBot="1" x14ac:dyDescent="0.3">
      <c r="B7" s="3" t="str">
        <f t="shared" ref="B7:B12" ca="1" si="0">TEXT(C7,"dddd")</f>
        <v>Tuesday</v>
      </c>
      <c r="C7" s="5">
        <f ca="1">C6+1</f>
        <v>43515</v>
      </c>
      <c r="D7" s="12"/>
      <c r="E7" s="13"/>
      <c r="F7" s="6"/>
      <c r="G7" s="7">
        <f t="shared" ref="G7:G12" si="1">MAX(0,F7-D7-(E7/60/24))</f>
        <v>0</v>
      </c>
    </row>
    <row r="8" spans="2:7" s="4" customFormat="1" ht="18" customHeight="1" thickTop="1" thickBot="1" x14ac:dyDescent="0.3">
      <c r="B8" s="3" t="str">
        <f t="shared" ca="1" si="0"/>
        <v>Wednesday</v>
      </c>
      <c r="C8" s="5">
        <f t="shared" ref="C8:C11" ca="1" si="2">C7+1</f>
        <v>43516</v>
      </c>
      <c r="D8" s="12"/>
      <c r="E8" s="13"/>
      <c r="F8" s="6"/>
      <c r="G8" s="7">
        <f t="shared" si="1"/>
        <v>0</v>
      </c>
    </row>
    <row r="9" spans="2:7" s="4" customFormat="1" ht="18" customHeight="1" thickTop="1" thickBot="1" x14ac:dyDescent="0.3">
      <c r="B9" s="3" t="str">
        <f t="shared" ca="1" si="0"/>
        <v>Thursday</v>
      </c>
      <c r="C9" s="5">
        <f t="shared" ca="1" si="2"/>
        <v>43517</v>
      </c>
      <c r="D9" s="12"/>
      <c r="E9" s="13"/>
      <c r="F9" s="6"/>
      <c r="G9" s="7">
        <f t="shared" si="1"/>
        <v>0</v>
      </c>
    </row>
    <row r="10" spans="2:7" s="4" customFormat="1" ht="18" customHeight="1" thickTop="1" thickBot="1" x14ac:dyDescent="0.3">
      <c r="B10" s="3" t="str">
        <f t="shared" ca="1" si="0"/>
        <v>Friday</v>
      </c>
      <c r="C10" s="5">
        <f t="shared" ca="1" si="2"/>
        <v>43518</v>
      </c>
      <c r="D10" s="12"/>
      <c r="E10" s="13"/>
      <c r="F10" s="6"/>
      <c r="G10" s="7">
        <f t="shared" si="1"/>
        <v>0</v>
      </c>
    </row>
    <row r="11" spans="2:7" s="4" customFormat="1" ht="18" customHeight="1" thickTop="1" thickBot="1" x14ac:dyDescent="0.3">
      <c r="B11" s="3" t="str">
        <f t="shared" ca="1" si="0"/>
        <v>Saturday</v>
      </c>
      <c r="C11" s="5">
        <f t="shared" ca="1" si="2"/>
        <v>43519</v>
      </c>
      <c r="D11" s="12"/>
      <c r="E11" s="13"/>
      <c r="F11" s="6"/>
      <c r="G11" s="7">
        <f t="shared" si="1"/>
        <v>0</v>
      </c>
    </row>
    <row r="12" spans="2:7" s="4" customFormat="1" ht="18" customHeight="1" thickTop="1" thickBot="1" x14ac:dyDescent="0.3">
      <c r="B12" s="3" t="str">
        <f t="shared" ca="1" si="0"/>
        <v>Sunday</v>
      </c>
      <c r="C12" s="5">
        <f ca="1">C11+1</f>
        <v>43520</v>
      </c>
      <c r="D12" s="12"/>
      <c r="E12" s="13"/>
      <c r="F12" s="6"/>
      <c r="G12" s="7">
        <f t="shared" si="1"/>
        <v>0</v>
      </c>
    </row>
    <row r="13" spans="2:7" s="4" customFormat="1" ht="18" customHeight="1" thickTop="1" thickBot="1" x14ac:dyDescent="0.3">
      <c r="B13" s="3"/>
      <c r="C13" s="8"/>
      <c r="D13" s="8"/>
      <c r="E13" s="8"/>
      <c r="F13" s="8"/>
      <c r="G13" s="9">
        <f>SUM(G6:G12)*24</f>
        <v>0</v>
      </c>
    </row>
    <row r="14" spans="2:7" s="4" customFormat="1" ht="18" customHeight="1" thickTop="1" thickBot="1" x14ac:dyDescent="0.3">
      <c r="B14" s="3" t="s">
        <v>4</v>
      </c>
      <c r="C14" s="8"/>
      <c r="D14" s="8"/>
      <c r="E14" s="8"/>
      <c r="F14" s="8"/>
      <c r="G14" s="10">
        <v>0</v>
      </c>
    </row>
    <row r="15" spans="2:7" s="4" customFormat="1" ht="18" customHeight="1" thickTop="1" thickBot="1" x14ac:dyDescent="0.3">
      <c r="B15" s="3" t="s">
        <v>5</v>
      </c>
      <c r="C15" s="8"/>
      <c r="D15" s="8"/>
      <c r="E15" s="8"/>
      <c r="F15" s="8"/>
      <c r="G15" s="11">
        <f>G13*G14</f>
        <v>0</v>
      </c>
    </row>
    <row r="16" spans="2:7" ht="14.25" thickTop="1" x14ac:dyDescent="0.25"/>
  </sheetData>
  <mergeCells count="6">
    <mergeCell ref="C1:D1"/>
    <mergeCell ref="C2:D2"/>
    <mergeCell ref="F1:G1"/>
    <mergeCell ref="F2:G2"/>
    <mergeCell ref="C3:D3"/>
    <mergeCell ref="F3:G3"/>
  </mergeCells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rdTimesheet">
                <anchor moveWithCells="1" sizeWithCells="1">
                  <from>
                    <xdr:col>7</xdr:col>
                    <xdr:colOff>133350</xdr:colOff>
                    <xdr:row>0</xdr:row>
                    <xdr:rowOff>85725</xdr:rowOff>
                  </from>
                  <to>
                    <xdr:col>8</xdr:col>
                    <xdr:colOff>552450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2E045-336F-4B45-A692-4136F28DB36A}">
  <sheetPr codeName="Sheet2"/>
  <dimension ref="A1:E8"/>
  <sheetViews>
    <sheetView workbookViewId="0">
      <selection activeCell="A2" sqref="A2:E22"/>
    </sheetView>
  </sheetViews>
  <sheetFormatPr defaultRowHeight="15" x14ac:dyDescent="0.25"/>
  <cols>
    <col min="1" max="1" width="10.7109375" style="14" bestFit="1" customWidth="1"/>
  </cols>
  <sheetData>
    <row r="1" spans="1:5" x14ac:dyDescent="0.25">
      <c r="A1" s="14" t="s">
        <v>0</v>
      </c>
      <c r="B1" t="s">
        <v>10</v>
      </c>
      <c r="C1" t="s">
        <v>11</v>
      </c>
      <c r="D1" t="s">
        <v>13</v>
      </c>
      <c r="E1" t="s">
        <v>12</v>
      </c>
    </row>
    <row r="2" spans="1:5" x14ac:dyDescent="0.25">
      <c r="A2" s="14">
        <v>43514</v>
      </c>
      <c r="E2">
        <v>0</v>
      </c>
    </row>
    <row r="3" spans="1:5" x14ac:dyDescent="0.25">
      <c r="A3" s="14">
        <v>43515</v>
      </c>
      <c r="E3">
        <v>0</v>
      </c>
    </row>
    <row r="4" spans="1:5" x14ac:dyDescent="0.25">
      <c r="A4" s="14">
        <v>43516</v>
      </c>
      <c r="E4">
        <v>0</v>
      </c>
    </row>
    <row r="5" spans="1:5" x14ac:dyDescent="0.25">
      <c r="A5" s="14">
        <v>43517</v>
      </c>
      <c r="E5">
        <v>0</v>
      </c>
    </row>
    <row r="6" spans="1:5" x14ac:dyDescent="0.25">
      <c r="A6" s="14">
        <v>43518</v>
      </c>
      <c r="E6">
        <v>0</v>
      </c>
    </row>
    <row r="7" spans="1:5" x14ac:dyDescent="0.25">
      <c r="A7" s="14">
        <v>43519</v>
      </c>
      <c r="E7">
        <v>0</v>
      </c>
    </row>
    <row r="8" spans="1:5" x14ac:dyDescent="0.25">
      <c r="A8" s="14">
        <v>43520</v>
      </c>
      <c r="E8">
        <v>0</v>
      </c>
    </row>
  </sheetData>
  <sortState ref="A2:E22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Timesheet</vt:lpstr>
      <vt:lpstr>Database</vt:lpstr>
      <vt:lpstr>Date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 Healey</cp:lastModifiedBy>
  <cp:lastPrinted>2019-02-21T01:06:46Z</cp:lastPrinted>
  <dcterms:created xsi:type="dcterms:W3CDTF">2018-04-09T01:56:40Z</dcterms:created>
  <dcterms:modified xsi:type="dcterms:W3CDTF">2019-02-21T03:46:36Z</dcterms:modified>
</cp:coreProperties>
</file>